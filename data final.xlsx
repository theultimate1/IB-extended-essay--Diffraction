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jay\Documents\School\IB XI\EE\"/>
    </mc:Choice>
  </mc:AlternateContent>
  <bookViews>
    <workbookView xWindow="0" yWindow="0" windowWidth="15495" windowHeight="5970"/>
  </bookViews>
  <sheets>
    <sheet name="Experimental data" sheetId="1" r:id="rId1"/>
    <sheet name="Sheet1" sheetId="4" r:id="rId2"/>
    <sheet name="Simulation 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1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" i="1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" i="4"/>
  <c r="C2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" i="4"/>
  <c r="L16" i="1" l="1"/>
  <c r="N16" i="1" s="1"/>
  <c r="R16" i="1" s="1"/>
  <c r="L3" i="1" l="1"/>
  <c r="N3" i="1" s="1"/>
  <c r="R3" i="1" s="1"/>
  <c r="L4" i="1"/>
  <c r="N4" i="1" s="1"/>
  <c r="R4" i="1" s="1"/>
  <c r="L5" i="1"/>
  <c r="N5" i="1" s="1"/>
  <c r="R5" i="1" s="1"/>
  <c r="L6" i="1"/>
  <c r="N6" i="1" s="1"/>
  <c r="R6" i="1" s="1"/>
  <c r="L7" i="1"/>
  <c r="N7" i="1" s="1"/>
  <c r="R7" i="1" s="1"/>
  <c r="L8" i="1"/>
  <c r="N8" i="1" s="1"/>
  <c r="R8" i="1" s="1"/>
  <c r="L9" i="1"/>
  <c r="N9" i="1" s="1"/>
  <c r="R9" i="1" s="1"/>
  <c r="L10" i="1"/>
  <c r="N10" i="1" s="1"/>
  <c r="R10" i="1" s="1"/>
  <c r="L11" i="1"/>
  <c r="N11" i="1" s="1"/>
  <c r="R11" i="1" s="1"/>
  <c r="L12" i="1"/>
  <c r="N12" i="1" s="1"/>
  <c r="R12" i="1" s="1"/>
  <c r="L13" i="1"/>
  <c r="N13" i="1" s="1"/>
  <c r="R13" i="1" s="1"/>
  <c r="L14" i="1"/>
  <c r="N14" i="1" s="1"/>
  <c r="R14" i="1" s="1"/>
  <c r="L15" i="1"/>
  <c r="N15" i="1" s="1"/>
  <c r="R15" i="1" s="1"/>
  <c r="L17" i="1"/>
  <c r="N17" i="1" s="1"/>
  <c r="R17" i="1" s="1"/>
  <c r="L18" i="1"/>
  <c r="N18" i="1" s="1"/>
  <c r="R18" i="1" s="1"/>
  <c r="L19" i="1"/>
  <c r="N19" i="1" s="1"/>
  <c r="R19" i="1" s="1"/>
  <c r="L20" i="1"/>
  <c r="N20" i="1" s="1"/>
  <c r="R20" i="1" s="1"/>
  <c r="L21" i="1"/>
  <c r="N21" i="1" s="1"/>
  <c r="R21" i="1" s="1"/>
  <c r="L22" i="1"/>
  <c r="N22" i="1" s="1"/>
  <c r="R22" i="1" s="1"/>
  <c r="L23" i="1"/>
  <c r="N23" i="1" s="1"/>
  <c r="R23" i="1" s="1"/>
  <c r="L24" i="1"/>
  <c r="N24" i="1" s="1"/>
  <c r="R24" i="1" s="1"/>
  <c r="L25" i="1"/>
  <c r="N25" i="1" s="1"/>
  <c r="R25" i="1" s="1"/>
  <c r="L26" i="1"/>
  <c r="N26" i="1" s="1"/>
  <c r="R26" i="1" s="1"/>
  <c r="L2" i="1"/>
  <c r="N2" i="1" s="1"/>
  <c r="R2" i="1" s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" i="1"/>
</calcChain>
</file>

<file path=xl/sharedStrings.xml><?xml version="1.0" encoding="utf-8"?>
<sst xmlns="http://schemas.openxmlformats.org/spreadsheetml/2006/main" count="79" uniqueCount="79">
  <si>
    <r>
      <t>d/cm</t>
    </r>
    <r>
      <rPr>
        <sz val="11"/>
        <color theme="1"/>
        <rFont val="Calibri"/>
        <family val="2"/>
      </rPr>
      <t>±0.1</t>
    </r>
  </si>
  <si>
    <t>1/d^2 ±0.2</t>
  </si>
  <si>
    <r>
      <t>Real Avg Intensity/lx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>0.4</t>
    </r>
  </si>
  <si>
    <t>4e-07,</t>
  </si>
  <si>
    <t>5e-07,</t>
  </si>
  <si>
    <t>6e-07,</t>
  </si>
  <si>
    <t>7e-07,</t>
  </si>
  <si>
    <t>8e-07,</t>
  </si>
  <si>
    <t>9e-07,</t>
  </si>
  <si>
    <t>1e-06,</t>
  </si>
  <si>
    <t>2e-06,</t>
  </si>
  <si>
    <t>3e-06,</t>
  </si>
  <si>
    <t>4e-06,</t>
  </si>
  <si>
    <t>4.9999999999999996e-06,</t>
  </si>
  <si>
    <t>6e-06,</t>
  </si>
  <si>
    <t>7e-06,</t>
  </si>
  <si>
    <t>8e-06,</t>
  </si>
  <si>
    <t>9e-06,</t>
  </si>
  <si>
    <t>9.999999999999999e-06,</t>
  </si>
  <si>
    <t>1.9999999999999998e-05,</t>
  </si>
  <si>
    <t>2.9999999999999997e-05,</t>
  </si>
  <si>
    <t>3.9999999999999996e-05,</t>
  </si>
  <si>
    <t>4.9999999999999996e-05,</t>
  </si>
  <si>
    <t>5.9999999999999995e-05,</t>
  </si>
  <si>
    <t>7e-05,</t>
  </si>
  <si>
    <t>7.999999999999999e-05,</t>
  </si>
  <si>
    <t>8.999999999999999e-05,</t>
  </si>
  <si>
    <t>9.999999999999999e-05,</t>
  </si>
  <si>
    <t>0.00019999999999999998,</t>
  </si>
  <si>
    <t>0.0003,</t>
  </si>
  <si>
    <t>0.00039999999999999996,</t>
  </si>
  <si>
    <t>0.0005,</t>
  </si>
  <si>
    <t>0.0006,</t>
  </si>
  <si>
    <t>0.0006999999999999999,</t>
  </si>
  <si>
    <t>8.134456144766406e-11, 3.2537824579065625e-10, 7.321010530289767e-10, 1.301512983162625e-09, 2.033614036191602e-09, 2.9284042121159068e-09, 3.98588351093554e-09, 5.2060519326505e-09, 6.58890947726079e-09, 8.134456144766408e-09, 3.253782457906563e-08, 7.321010530289769e-08, 1.3015129831626252e-07, 2.0336140361916017e-07, 2.9284042121159075e-07, 3.9858835109355397e-07, 5.206051932650501e-07, 6.588909477260791e-07, 8.134456144766407e-07, 3.2537824579065627e-06, 7.321010530289766e-06, 1.3015129831626251e-05, 2.033614036191602e-05, 2.9284042121159065e-05, 3.98588351093554e-05, 5.2060519326505003e-05, 6.588909477260789e-05, 8.134456144766408e-05, 0.0003253782457906563, 0.0007321010530289766, 0.0013015129831626252, 0.002033614036191602, 0.0029284042121159063, 0.003985883510935539, 0.005206051932650501</t>
  </si>
  <si>
    <t>8.134456144766408e-09,</t>
  </si>
  <si>
    <t>8.134456144766408e-05,</t>
  </si>
  <si>
    <t>8.134456144766407e-07,</t>
  </si>
  <si>
    <t>8.134456144766406e-11,</t>
  </si>
  <si>
    <t>7.321010530289769e-08,</t>
  </si>
  <si>
    <t>7.321010530289767e-10,</t>
  </si>
  <si>
    <t>7.321010530289766e-06,</t>
  </si>
  <si>
    <t>6.58890947726079e-09,</t>
  </si>
  <si>
    <t>6.588909477260791e-07,</t>
  </si>
  <si>
    <t>6.588909477260789e-05,</t>
  </si>
  <si>
    <t>5.2060519326505e-09,</t>
  </si>
  <si>
    <t>5.206051932650501e-07,</t>
  </si>
  <si>
    <t>5.2060519326505003e-05,</t>
  </si>
  <si>
    <t>3.98588351093554e-09,</t>
  </si>
  <si>
    <t>3.98588351093554e-05,</t>
  </si>
  <si>
    <t>3.9858835109355397e-07,</t>
  </si>
  <si>
    <t>3.253782457906563e-08,</t>
  </si>
  <si>
    <t>3.2537824579065627e-06,</t>
  </si>
  <si>
    <t>3.2537824579065625e-10,</t>
  </si>
  <si>
    <t>2.9284042121159075e-07,</t>
  </si>
  <si>
    <t>2.9284042121159068e-09,</t>
  </si>
  <si>
    <t>2.9284042121159065e-05,</t>
  </si>
  <si>
    <t>2.033614036191602e-09,</t>
  </si>
  <si>
    <t>2.033614036191602e-05,</t>
  </si>
  <si>
    <t>2.0336140361916017e-07,</t>
  </si>
  <si>
    <t>1.301512983162625e-09,</t>
  </si>
  <si>
    <t>1.3015129831626252e-07,</t>
  </si>
  <si>
    <t>1.3015129831626251e-05,</t>
  </si>
  <si>
    <t>0.003985883510935539,</t>
  </si>
  <si>
    <t>0.0029284042121159063,</t>
  </si>
  <si>
    <t>0.002033614036191602,</t>
  </si>
  <si>
    <t>0.0013015129831626252,</t>
  </si>
  <si>
    <t>0.0007321010530289766,</t>
  </si>
  <si>
    <t>0.0003253782457906563,</t>
  </si>
  <si>
    <t>S.no</t>
  </si>
  <si>
    <r>
      <t>d/cm</t>
    </r>
    <r>
      <rPr>
        <sz val="11"/>
        <color theme="1"/>
        <rFont val="Calibri"/>
        <family val="2"/>
      </rPr>
      <t>±0.1 cm</t>
    </r>
  </si>
  <si>
    <r>
      <t>I/mA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>0.1mA</t>
    </r>
  </si>
  <si>
    <r>
      <t>Intensity/lx</t>
    </r>
    <r>
      <rPr>
        <sz val="11"/>
        <color theme="1"/>
        <rFont val="Calibri"/>
        <family val="2"/>
      </rPr>
      <t>±0.2lx</t>
    </r>
  </si>
  <si>
    <r>
      <t xml:space="preserve">Background intensity/lx </t>
    </r>
    <r>
      <rPr>
        <sz val="11"/>
        <color theme="1"/>
        <rFont val="Calibri"/>
        <family val="2"/>
      </rPr>
      <t>±0.2lx</t>
    </r>
  </si>
  <si>
    <r>
      <t xml:space="preserve">Avg Background intensity/lx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>0.2 lx</t>
    </r>
  </si>
  <si>
    <r>
      <t xml:space="preserve">Real Avg Intensity/lx </t>
    </r>
    <r>
      <rPr>
        <sz val="11"/>
        <color theme="1"/>
        <rFont val="Calibri"/>
        <family val="2"/>
      </rPr>
      <t>± 0.4 lx</t>
    </r>
  </si>
  <si>
    <r>
      <t xml:space="preserve">Average current/mA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>0.1 mA</t>
    </r>
  </si>
  <si>
    <r>
      <t>d/m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>0.001 m</t>
    </r>
  </si>
  <si>
    <r>
      <t>Real avg intensity/Wm^-2±</t>
    </r>
    <r>
      <rPr>
        <sz val="9.9"/>
        <color theme="1"/>
        <rFont val="Times New Roman"/>
        <family val="1"/>
      </rPr>
      <t>0.4</t>
    </r>
    <r>
      <rPr>
        <sz val="11"/>
        <color theme="1"/>
        <rFont val="Times New Roman"/>
        <family val="1"/>
      </rPr>
      <t>Wm^-2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</si>
</sst>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  <font>
      <sz val="11"/>
      <color theme="1"/>
      <name val="Times New Roman"/>
      <family val="1"/>
    </font>
    <font>
      <sz val="9.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10" xfId="0" applyBorder="1" applyAlignment="1">
      <alignment wrapText="1"/>
    </xf>
    <xf numFmtId="164" fontId="0" fillId="0" borderId="13" xfId="0" applyNumberFormat="1" applyBorder="1" applyAlignment="1">
      <alignment wrapText="1"/>
    </xf>
    <xf numFmtId="165" fontId="0" fillId="0" borderId="11" xfId="0" applyNumberFormat="1" applyBorder="1"/>
    <xf numFmtId="165" fontId="0" fillId="0" borderId="12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17" xfId="0" applyNumberFormat="1" applyBorder="1"/>
    <xf numFmtId="164" fontId="0" fillId="0" borderId="18" xfId="0" applyNumberFormat="1" applyBorder="1"/>
    <xf numFmtId="0" fontId="0" fillId="0" borderId="16" xfId="0" applyBorder="1"/>
    <xf numFmtId="164" fontId="3" fillId="0" borderId="1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'Experimental data'!$N$1</c:f>
              <c:strCache>
                <c:ptCount val="1"/>
                <c:pt idx="0">
                  <c:v>Real Avg Intensity/lx ± 0.4 lx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'Experimental data'!$Q$2:$Q$26</c:f>
              <c:numCache>
                <c:formatCode>0.000</c:formatCode>
                <c:ptCount val="25"/>
                <c:pt idx="0">
                  <c:v>0.11</c:v>
                </c:pt>
                <c:pt idx="1">
                  <c:v>0.21</c:v>
                </c:pt>
                <c:pt idx="2">
                  <c:v>0.31</c:v>
                </c:pt>
                <c:pt idx="3">
                  <c:v>0.41</c:v>
                </c:pt>
                <c:pt idx="4">
                  <c:v>0.51</c:v>
                </c:pt>
                <c:pt idx="5">
                  <c:v>0.61</c:v>
                </c:pt>
                <c:pt idx="6">
                  <c:v>0.71</c:v>
                </c:pt>
                <c:pt idx="7">
                  <c:v>0.81</c:v>
                </c:pt>
                <c:pt idx="8">
                  <c:v>0.91</c:v>
                </c:pt>
                <c:pt idx="9">
                  <c:v>1.01</c:v>
                </c:pt>
                <c:pt idx="10">
                  <c:v>1.1100000000000001</c:v>
                </c:pt>
                <c:pt idx="11">
                  <c:v>1.21</c:v>
                </c:pt>
                <c:pt idx="12">
                  <c:v>1.31</c:v>
                </c:pt>
                <c:pt idx="13">
                  <c:v>1.41</c:v>
                </c:pt>
                <c:pt idx="14">
                  <c:v>1.51</c:v>
                </c:pt>
                <c:pt idx="15">
                  <c:v>1.61</c:v>
                </c:pt>
                <c:pt idx="16">
                  <c:v>1.71</c:v>
                </c:pt>
                <c:pt idx="17">
                  <c:v>1.81</c:v>
                </c:pt>
                <c:pt idx="18">
                  <c:v>1.91</c:v>
                </c:pt>
                <c:pt idx="19">
                  <c:v>2.0099999999999998</c:v>
                </c:pt>
                <c:pt idx="20">
                  <c:v>2.11</c:v>
                </c:pt>
                <c:pt idx="21">
                  <c:v>2.21</c:v>
                </c:pt>
                <c:pt idx="22">
                  <c:v>2.31</c:v>
                </c:pt>
                <c:pt idx="23">
                  <c:v>2.41</c:v>
                </c:pt>
                <c:pt idx="24">
                  <c:v>2.5099999999999998</c:v>
                </c:pt>
              </c:numCache>
            </c:numRef>
          </c:xVal>
          <c:yVal>
            <c:numRef>
              <c:f>'Experimental data'!$R$2:$R$26</c:f>
              <c:numCache>
                <c:formatCode>0.0</c:formatCode>
                <c:ptCount val="25"/>
                <c:pt idx="0">
                  <c:v>51.282222222222217</c:v>
                </c:pt>
                <c:pt idx="1">
                  <c:v>49.36</c:v>
                </c:pt>
                <c:pt idx="2">
                  <c:v>47.777777777777779</c:v>
                </c:pt>
                <c:pt idx="3">
                  <c:v>47.062222222222232</c:v>
                </c:pt>
                <c:pt idx="4">
                  <c:v>46.25555555555556</c:v>
                </c:pt>
                <c:pt idx="5">
                  <c:v>45.315555555555555</c:v>
                </c:pt>
                <c:pt idx="6">
                  <c:v>43.38666666666667</c:v>
                </c:pt>
                <c:pt idx="7">
                  <c:v>40.715555555555554</c:v>
                </c:pt>
                <c:pt idx="8">
                  <c:v>34.691111111111105</c:v>
                </c:pt>
                <c:pt idx="9">
                  <c:v>27.87777777777778</c:v>
                </c:pt>
                <c:pt idx="10">
                  <c:v>22.231111111111112</c:v>
                </c:pt>
                <c:pt idx="11">
                  <c:v>18.3</c:v>
                </c:pt>
                <c:pt idx="12">
                  <c:v>16.568888888888885</c:v>
                </c:pt>
                <c:pt idx="13">
                  <c:v>13.282222222222222</c:v>
                </c:pt>
                <c:pt idx="14">
                  <c:v>11.66</c:v>
                </c:pt>
                <c:pt idx="15">
                  <c:v>10.455555555555556</c:v>
                </c:pt>
                <c:pt idx="16">
                  <c:v>9.5666666666666664</c:v>
                </c:pt>
                <c:pt idx="17">
                  <c:v>8.137777777777778</c:v>
                </c:pt>
                <c:pt idx="18">
                  <c:v>7.8777777777777782</c:v>
                </c:pt>
                <c:pt idx="19">
                  <c:v>6.4622222222222225</c:v>
                </c:pt>
                <c:pt idx="20">
                  <c:v>6.1066666666666674</c:v>
                </c:pt>
                <c:pt idx="21">
                  <c:v>5.684444444444444</c:v>
                </c:pt>
                <c:pt idx="22">
                  <c:v>5.2266666666666657</c:v>
                </c:pt>
                <c:pt idx="23">
                  <c:v>5.4333333333333336</c:v>
                </c:pt>
                <c:pt idx="24">
                  <c:v>4.7488888888888878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FB-4DFA-A536-15153BC75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961264"/>
        <c:axId val="1186055088"/>
      </c:scatterChart>
      <c:valAx>
        <c:axId val="129196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055088"/>
        <c:crosses val="autoZero"/>
        <c:crossBetween val="midCat"/>
      </c:valAx>
      <c:valAx>
        <c:axId val="118605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96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539749</xdr:colOff>
      <xdr:row>7</xdr:row>
      <xdr:rowOff>162984</xdr:rowOff>
    </xdr:from>
    <xdr:to>
      <xdr:col>28</xdr:col>
      <xdr:colOff>201082</xdr:colOff>
      <xdr:row>22</xdr:row>
      <xdr:rowOff>48684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9C285-24A4-4D26-A37B-8908331F00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6"/>
  <sheetViews>
    <sheetView tabSelected="1" topLeftCell="F1" zoomScale="80" zoomScaleNormal="80" workbookViewId="0">
      <selection activeCell="O3" sqref="O3"/>
    </sheetView>
  </sheetViews>
  <sheetFormatPr defaultRowHeight="15" x14ac:dyDescent="0.25"/>
  <cols>
    <col min="2" max="2" width="13.42578125" style="1" customWidth="1"/>
    <col min="3" max="4" width="9.140625" customWidth="1"/>
    <col min="5" max="5" width="4.140625" customWidth="1"/>
    <col min="9" max="9" width="18.42578125" customWidth="1"/>
    <col min="10" max="10" width="18.42578125" style="1" customWidth="1"/>
    <col min="11" max="11" width="9.140625" customWidth="1"/>
    <col min="12" max="12" width="20.42578125" customWidth="1"/>
    <col min="13" max="13" width="13.42578125" customWidth="1"/>
    <col min="14" max="14" width="15.140625" customWidth="1"/>
    <col min="15" max="15" width="21.42578125" customWidth="1"/>
    <col min="16" max="16" width="18.85546875" customWidth="1"/>
    <col min="17" max="17" width="19.28515625" customWidth="1"/>
    <col min="18" max="18" width="36.140625" style="1" customWidth="1"/>
  </cols>
  <sheetData>
    <row r="1" spans="1:18" ht="45.75" thickBot="1" x14ac:dyDescent="0.3">
      <c r="A1" s="5" t="s">
        <v>69</v>
      </c>
      <c r="B1" s="16" t="s">
        <v>70</v>
      </c>
      <c r="C1" s="19" t="s">
        <v>71</v>
      </c>
      <c r="D1" s="20"/>
      <c r="E1" s="21"/>
      <c r="F1" s="19" t="s">
        <v>72</v>
      </c>
      <c r="G1" s="20"/>
      <c r="H1" s="21"/>
      <c r="I1" s="22" t="s">
        <v>73</v>
      </c>
      <c r="J1" s="23"/>
      <c r="K1" s="24"/>
      <c r="L1" s="15" t="s">
        <v>74</v>
      </c>
      <c r="M1" s="15" t="s">
        <v>76</v>
      </c>
      <c r="N1" s="15" t="s">
        <v>75</v>
      </c>
      <c r="Q1" s="27" t="s">
        <v>77</v>
      </c>
      <c r="R1" s="28" t="s">
        <v>78</v>
      </c>
    </row>
    <row r="2" spans="1:18" x14ac:dyDescent="0.25">
      <c r="A2" s="5">
        <v>1</v>
      </c>
      <c r="B2" s="13">
        <v>11</v>
      </c>
      <c r="C2" s="6">
        <v>1.2</v>
      </c>
      <c r="D2" s="4">
        <v>1.1000000000000001</v>
      </c>
      <c r="E2" s="7">
        <v>1.2</v>
      </c>
      <c r="F2" s="6">
        <v>770</v>
      </c>
      <c r="G2" s="4">
        <v>769.3</v>
      </c>
      <c r="H2" s="7">
        <v>769.8</v>
      </c>
      <c r="I2" s="6">
        <v>0.3</v>
      </c>
      <c r="J2" s="4">
        <v>0.4</v>
      </c>
      <c r="K2" s="7">
        <v>0.7</v>
      </c>
      <c r="L2" s="11">
        <f>AVERAGE(I2,J2,K2)</f>
        <v>0.46666666666666662</v>
      </c>
      <c r="M2" s="11">
        <f t="shared" ref="M2:M26" si="0">AVERAGE(C2,D2,E2)</f>
        <v>1.1666666666666667</v>
      </c>
      <c r="N2" s="11">
        <f>(AVERAGE(F2,G2,H2))-L2</f>
        <v>769.23333333333323</v>
      </c>
      <c r="Q2" s="25">
        <f>B2/100</f>
        <v>0.11</v>
      </c>
      <c r="R2" s="26">
        <f>N2/15</f>
        <v>51.282222222222217</v>
      </c>
    </row>
    <row r="3" spans="1:18" x14ac:dyDescent="0.25">
      <c r="A3" s="5">
        <v>2</v>
      </c>
      <c r="B3" s="13">
        <v>21</v>
      </c>
      <c r="C3" s="6">
        <v>0.9</v>
      </c>
      <c r="D3" s="4">
        <v>1</v>
      </c>
      <c r="E3" s="7">
        <v>1</v>
      </c>
      <c r="F3" s="6">
        <v>743.5</v>
      </c>
      <c r="G3" s="4">
        <v>745.4</v>
      </c>
      <c r="H3" s="7">
        <v>741.3</v>
      </c>
      <c r="I3" s="6">
        <v>1.1000000000000001</v>
      </c>
      <c r="J3" s="4">
        <v>5.3</v>
      </c>
      <c r="K3" s="7">
        <v>2.6</v>
      </c>
      <c r="L3" s="11">
        <f t="shared" ref="L3:L26" si="1">AVERAGE(I3,J3,K3)</f>
        <v>3</v>
      </c>
      <c r="M3" s="11">
        <f t="shared" si="0"/>
        <v>0.96666666666666667</v>
      </c>
      <c r="N3" s="11">
        <f t="shared" ref="N3:N26" si="2">(AVERAGE(F3,G3,H3))-L3</f>
        <v>740.4</v>
      </c>
      <c r="Q3" s="17">
        <f t="shared" ref="Q3:Q26" si="3">B3/100</f>
        <v>0.21</v>
      </c>
      <c r="R3" s="13">
        <f t="shared" ref="R3:R26" si="4">N3/15</f>
        <v>49.36</v>
      </c>
    </row>
    <row r="4" spans="1:18" x14ac:dyDescent="0.25">
      <c r="A4" s="5">
        <v>3</v>
      </c>
      <c r="B4" s="13">
        <v>31</v>
      </c>
      <c r="C4" s="6">
        <v>0.8</v>
      </c>
      <c r="D4" s="4">
        <v>0.9</v>
      </c>
      <c r="E4" s="7">
        <v>1</v>
      </c>
      <c r="F4" s="6">
        <v>724.7</v>
      </c>
      <c r="G4" s="4">
        <v>719.9</v>
      </c>
      <c r="H4" s="7">
        <v>720.1</v>
      </c>
      <c r="I4" s="6">
        <v>3.6</v>
      </c>
      <c r="J4" s="4">
        <v>6.2</v>
      </c>
      <c r="K4" s="7">
        <v>4.9000000000000004</v>
      </c>
      <c r="L4" s="11">
        <f t="shared" si="1"/>
        <v>4.9000000000000004</v>
      </c>
      <c r="M4" s="11">
        <f t="shared" si="0"/>
        <v>0.9</v>
      </c>
      <c r="N4" s="11">
        <f t="shared" si="2"/>
        <v>716.66666666666663</v>
      </c>
      <c r="Q4" s="17">
        <f t="shared" si="3"/>
        <v>0.31</v>
      </c>
      <c r="R4" s="13">
        <f t="shared" si="4"/>
        <v>47.777777777777779</v>
      </c>
    </row>
    <row r="5" spans="1:18" x14ac:dyDescent="0.25">
      <c r="A5" s="5">
        <v>4</v>
      </c>
      <c r="B5" s="13">
        <v>41</v>
      </c>
      <c r="C5" s="6">
        <v>0.7</v>
      </c>
      <c r="D5" s="4">
        <v>0.8</v>
      </c>
      <c r="E5" s="7">
        <v>0.8</v>
      </c>
      <c r="F5" s="6">
        <v>710.5</v>
      </c>
      <c r="G5" s="4">
        <v>713.4</v>
      </c>
      <c r="H5" s="7">
        <v>711.2</v>
      </c>
      <c r="I5" s="6">
        <v>5.6</v>
      </c>
      <c r="J5" s="4">
        <v>5.3</v>
      </c>
      <c r="K5" s="7">
        <v>6.4</v>
      </c>
      <c r="L5" s="11">
        <f t="shared" si="1"/>
        <v>5.7666666666666657</v>
      </c>
      <c r="M5" s="11">
        <f t="shared" si="0"/>
        <v>0.76666666666666661</v>
      </c>
      <c r="N5" s="11">
        <f t="shared" si="2"/>
        <v>705.93333333333351</v>
      </c>
      <c r="Q5" s="17">
        <f t="shared" si="3"/>
        <v>0.41</v>
      </c>
      <c r="R5" s="13">
        <f t="shared" si="4"/>
        <v>47.062222222222232</v>
      </c>
    </row>
    <row r="6" spans="1:18" x14ac:dyDescent="0.25">
      <c r="A6" s="5">
        <v>5</v>
      </c>
      <c r="B6" s="13">
        <v>51</v>
      </c>
      <c r="C6" s="6">
        <v>0.7</v>
      </c>
      <c r="D6" s="4">
        <v>0.8</v>
      </c>
      <c r="E6" s="7">
        <v>0.7</v>
      </c>
      <c r="F6" s="6">
        <v>701.5</v>
      </c>
      <c r="G6" s="4">
        <v>703.8</v>
      </c>
      <c r="H6" s="7">
        <v>702</v>
      </c>
      <c r="I6" s="6">
        <v>7.8</v>
      </c>
      <c r="J6" s="4">
        <v>9.8000000000000007</v>
      </c>
      <c r="K6" s="7">
        <v>8.1999999999999993</v>
      </c>
      <c r="L6" s="11">
        <f t="shared" si="1"/>
        <v>8.6</v>
      </c>
      <c r="M6" s="11">
        <f t="shared" si="0"/>
        <v>0.73333333333333339</v>
      </c>
      <c r="N6" s="11">
        <f t="shared" si="2"/>
        <v>693.83333333333337</v>
      </c>
      <c r="Q6" s="17">
        <f t="shared" si="3"/>
        <v>0.51</v>
      </c>
      <c r="R6" s="13">
        <f t="shared" si="4"/>
        <v>46.25555555555556</v>
      </c>
    </row>
    <row r="7" spans="1:18" x14ac:dyDescent="0.25">
      <c r="A7" s="5">
        <v>6</v>
      </c>
      <c r="B7" s="13">
        <v>61</v>
      </c>
      <c r="C7" s="6">
        <v>0.7</v>
      </c>
      <c r="D7" s="4">
        <v>0.7</v>
      </c>
      <c r="E7" s="7">
        <v>0.7</v>
      </c>
      <c r="F7" s="6">
        <v>689.1</v>
      </c>
      <c r="G7" s="4">
        <v>684.3</v>
      </c>
      <c r="H7" s="7">
        <v>695.6</v>
      </c>
      <c r="I7" s="6">
        <v>9.4</v>
      </c>
      <c r="J7" s="4">
        <v>9.8000000000000007</v>
      </c>
      <c r="K7" s="7">
        <v>10.6</v>
      </c>
      <c r="L7" s="11">
        <f t="shared" si="1"/>
        <v>9.9333333333333353</v>
      </c>
      <c r="M7" s="11">
        <f t="shared" si="0"/>
        <v>0.69999999999999984</v>
      </c>
      <c r="N7" s="11">
        <f t="shared" si="2"/>
        <v>679.73333333333335</v>
      </c>
      <c r="Q7" s="17">
        <f t="shared" si="3"/>
        <v>0.61</v>
      </c>
      <c r="R7" s="13">
        <f t="shared" si="4"/>
        <v>45.315555555555555</v>
      </c>
    </row>
    <row r="8" spans="1:18" x14ac:dyDescent="0.25">
      <c r="A8" s="5">
        <v>7</v>
      </c>
      <c r="B8" s="13">
        <v>71</v>
      </c>
      <c r="C8" s="6">
        <v>0.7</v>
      </c>
      <c r="D8" s="4">
        <v>0.6</v>
      </c>
      <c r="E8" s="7">
        <v>0.6</v>
      </c>
      <c r="F8" s="6">
        <v>654.1</v>
      </c>
      <c r="G8" s="4">
        <v>672.2</v>
      </c>
      <c r="H8" s="7">
        <v>660.2</v>
      </c>
      <c r="I8" s="6">
        <v>10.8</v>
      </c>
      <c r="J8" s="4">
        <v>11.1</v>
      </c>
      <c r="K8" s="7">
        <v>12.2</v>
      </c>
      <c r="L8" s="11">
        <f t="shared" si="1"/>
        <v>11.366666666666665</v>
      </c>
      <c r="M8" s="11">
        <f t="shared" si="0"/>
        <v>0.6333333333333333</v>
      </c>
      <c r="N8" s="11">
        <f t="shared" si="2"/>
        <v>650.80000000000007</v>
      </c>
      <c r="Q8" s="17">
        <f t="shared" si="3"/>
        <v>0.71</v>
      </c>
      <c r="R8" s="13">
        <f t="shared" si="4"/>
        <v>43.38666666666667</v>
      </c>
    </row>
    <row r="9" spans="1:18" x14ac:dyDescent="0.25">
      <c r="A9" s="5">
        <v>8</v>
      </c>
      <c r="B9" s="13">
        <v>81</v>
      </c>
      <c r="C9" s="6">
        <v>0.6</v>
      </c>
      <c r="D9" s="4">
        <v>0.6</v>
      </c>
      <c r="E9" s="7">
        <v>0.6</v>
      </c>
      <c r="F9" s="6">
        <v>639</v>
      </c>
      <c r="G9" s="4">
        <v>627</v>
      </c>
      <c r="H9" s="7">
        <v>599.70000000000005</v>
      </c>
      <c r="I9" s="6">
        <v>11.5</v>
      </c>
      <c r="J9" s="4">
        <v>9.6999999999999993</v>
      </c>
      <c r="K9" s="7">
        <v>12.3</v>
      </c>
      <c r="L9" s="11">
        <f t="shared" si="1"/>
        <v>11.166666666666666</v>
      </c>
      <c r="M9" s="11">
        <f t="shared" si="0"/>
        <v>0.6</v>
      </c>
      <c r="N9" s="11">
        <f t="shared" si="2"/>
        <v>610.73333333333335</v>
      </c>
      <c r="Q9" s="17">
        <f t="shared" si="3"/>
        <v>0.81</v>
      </c>
      <c r="R9" s="13">
        <f t="shared" si="4"/>
        <v>40.715555555555554</v>
      </c>
    </row>
    <row r="10" spans="1:18" x14ac:dyDescent="0.25">
      <c r="A10" s="5">
        <v>9</v>
      </c>
      <c r="B10" s="13">
        <v>91</v>
      </c>
      <c r="C10" s="6">
        <v>0.6</v>
      </c>
      <c r="D10" s="4">
        <v>0.5</v>
      </c>
      <c r="E10" s="7">
        <v>0.5</v>
      </c>
      <c r="F10" s="6">
        <v>543.4</v>
      </c>
      <c r="G10" s="4">
        <v>539.79999999999995</v>
      </c>
      <c r="H10" s="7">
        <v>512.70000000000005</v>
      </c>
      <c r="I10" s="6">
        <v>10.5</v>
      </c>
      <c r="J10" s="4">
        <v>11</v>
      </c>
      <c r="K10" s="7">
        <v>13.3</v>
      </c>
      <c r="L10" s="11">
        <f t="shared" si="1"/>
        <v>11.6</v>
      </c>
      <c r="M10" s="11">
        <f t="shared" si="0"/>
        <v>0.53333333333333333</v>
      </c>
      <c r="N10" s="11">
        <f t="shared" si="2"/>
        <v>520.36666666666656</v>
      </c>
      <c r="Q10" s="17">
        <f t="shared" si="3"/>
        <v>0.91</v>
      </c>
      <c r="R10" s="13">
        <f t="shared" si="4"/>
        <v>34.691111111111105</v>
      </c>
    </row>
    <row r="11" spans="1:18" x14ac:dyDescent="0.25">
      <c r="A11" s="5">
        <v>10</v>
      </c>
      <c r="B11" s="13">
        <v>101</v>
      </c>
      <c r="C11" s="6">
        <v>0.5</v>
      </c>
      <c r="D11" s="4">
        <v>0.5</v>
      </c>
      <c r="E11" s="7">
        <v>0.6</v>
      </c>
      <c r="F11" s="6">
        <v>412.2</v>
      </c>
      <c r="G11" s="4">
        <v>440.6</v>
      </c>
      <c r="H11" s="7">
        <v>435.7</v>
      </c>
      <c r="I11" s="6">
        <v>10.7</v>
      </c>
      <c r="J11" s="4">
        <v>11.1</v>
      </c>
      <c r="K11" s="7">
        <v>12.2</v>
      </c>
      <c r="L11" s="11">
        <f t="shared" si="1"/>
        <v>11.333333333333334</v>
      </c>
      <c r="M11" s="11">
        <f t="shared" si="0"/>
        <v>0.53333333333333333</v>
      </c>
      <c r="N11" s="11">
        <f t="shared" si="2"/>
        <v>418.16666666666669</v>
      </c>
      <c r="Q11" s="17">
        <f t="shared" si="3"/>
        <v>1.01</v>
      </c>
      <c r="R11" s="13">
        <f t="shared" si="4"/>
        <v>27.87777777777778</v>
      </c>
    </row>
    <row r="12" spans="1:18" x14ac:dyDescent="0.25">
      <c r="A12" s="5">
        <v>11</v>
      </c>
      <c r="B12" s="13">
        <v>111</v>
      </c>
      <c r="C12" s="6">
        <v>0.4</v>
      </c>
      <c r="D12" s="4">
        <v>0.5</v>
      </c>
      <c r="E12" s="7">
        <v>0.4</v>
      </c>
      <c r="F12" s="6">
        <v>343</v>
      </c>
      <c r="G12" s="4">
        <v>348</v>
      </c>
      <c r="H12" s="7">
        <v>352</v>
      </c>
      <c r="I12" s="6">
        <v>16.8</v>
      </c>
      <c r="J12" s="4">
        <v>13</v>
      </c>
      <c r="K12" s="7">
        <v>12.8</v>
      </c>
      <c r="L12" s="11">
        <f t="shared" si="1"/>
        <v>14.200000000000001</v>
      </c>
      <c r="M12" s="11">
        <f t="shared" si="0"/>
        <v>0.43333333333333335</v>
      </c>
      <c r="N12" s="11">
        <f t="shared" si="2"/>
        <v>333.4666666666667</v>
      </c>
      <c r="Q12" s="17">
        <f t="shared" si="3"/>
        <v>1.1100000000000001</v>
      </c>
      <c r="R12" s="13">
        <f t="shared" si="4"/>
        <v>22.231111111111112</v>
      </c>
    </row>
    <row r="13" spans="1:18" x14ac:dyDescent="0.25">
      <c r="A13" s="5">
        <v>12</v>
      </c>
      <c r="B13" s="13">
        <v>121</v>
      </c>
      <c r="C13" s="6">
        <v>0.4</v>
      </c>
      <c r="D13" s="4">
        <v>0.4</v>
      </c>
      <c r="E13" s="7">
        <v>0.5</v>
      </c>
      <c r="F13" s="6">
        <v>301</v>
      </c>
      <c r="G13" s="4">
        <v>297.3</v>
      </c>
      <c r="H13" s="7">
        <v>267.39999999999998</v>
      </c>
      <c r="I13" s="6">
        <v>12.8</v>
      </c>
      <c r="J13" s="4">
        <v>15.1</v>
      </c>
      <c r="K13" s="7">
        <v>14.3</v>
      </c>
      <c r="L13" s="11">
        <f t="shared" si="1"/>
        <v>14.066666666666668</v>
      </c>
      <c r="M13" s="11">
        <f t="shared" si="0"/>
        <v>0.43333333333333335</v>
      </c>
      <c r="N13" s="11">
        <f t="shared" si="2"/>
        <v>274.5</v>
      </c>
      <c r="Q13" s="17">
        <f t="shared" si="3"/>
        <v>1.21</v>
      </c>
      <c r="R13" s="13">
        <f t="shared" si="4"/>
        <v>18.3</v>
      </c>
    </row>
    <row r="14" spans="1:18" x14ac:dyDescent="0.25">
      <c r="A14" s="5">
        <v>13</v>
      </c>
      <c r="B14" s="13">
        <v>131</v>
      </c>
      <c r="C14" s="6">
        <v>0.3</v>
      </c>
      <c r="D14" s="4">
        <v>0.4</v>
      </c>
      <c r="E14" s="7">
        <v>0.4</v>
      </c>
      <c r="F14" s="6">
        <v>252</v>
      </c>
      <c r="G14" s="4">
        <v>280</v>
      </c>
      <c r="H14" s="7">
        <v>258</v>
      </c>
      <c r="I14" s="6">
        <v>17.5</v>
      </c>
      <c r="J14" s="4">
        <v>10.4</v>
      </c>
      <c r="K14" s="7">
        <v>16.5</v>
      </c>
      <c r="L14" s="11">
        <f t="shared" si="1"/>
        <v>14.799999999999999</v>
      </c>
      <c r="M14" s="11">
        <f t="shared" si="0"/>
        <v>0.3666666666666667</v>
      </c>
      <c r="N14" s="11">
        <f t="shared" si="2"/>
        <v>248.5333333333333</v>
      </c>
      <c r="Q14" s="17">
        <f t="shared" si="3"/>
        <v>1.31</v>
      </c>
      <c r="R14" s="13">
        <f t="shared" si="4"/>
        <v>16.568888888888885</v>
      </c>
    </row>
    <row r="15" spans="1:18" x14ac:dyDescent="0.25">
      <c r="A15" s="5">
        <v>14</v>
      </c>
      <c r="B15" s="13">
        <v>141</v>
      </c>
      <c r="C15" s="6">
        <v>0.4</v>
      </c>
      <c r="D15" s="4">
        <v>0.3</v>
      </c>
      <c r="E15" s="7">
        <v>0.3</v>
      </c>
      <c r="F15" s="6">
        <v>209</v>
      </c>
      <c r="G15" s="4">
        <v>229</v>
      </c>
      <c r="H15" s="7">
        <v>201</v>
      </c>
      <c r="I15" s="6">
        <v>17.100000000000001</v>
      </c>
      <c r="J15" s="4">
        <v>14.3</v>
      </c>
      <c r="K15" s="7">
        <v>9.9</v>
      </c>
      <c r="L15" s="11">
        <f t="shared" si="1"/>
        <v>13.766666666666667</v>
      </c>
      <c r="M15" s="11">
        <f t="shared" si="0"/>
        <v>0.33333333333333331</v>
      </c>
      <c r="N15" s="11">
        <f t="shared" si="2"/>
        <v>199.23333333333332</v>
      </c>
      <c r="Q15" s="17">
        <f t="shared" si="3"/>
        <v>1.41</v>
      </c>
      <c r="R15" s="13">
        <f t="shared" si="4"/>
        <v>13.282222222222222</v>
      </c>
    </row>
    <row r="16" spans="1:18" x14ac:dyDescent="0.25">
      <c r="A16" s="5">
        <v>15</v>
      </c>
      <c r="B16" s="13">
        <v>151</v>
      </c>
      <c r="C16" s="6">
        <v>0.3</v>
      </c>
      <c r="D16" s="4">
        <v>0.3</v>
      </c>
      <c r="E16" s="7">
        <v>0.3</v>
      </c>
      <c r="F16" s="6">
        <v>185</v>
      </c>
      <c r="G16" s="4">
        <v>200.9</v>
      </c>
      <c r="H16" s="7">
        <v>175</v>
      </c>
      <c r="I16" s="6">
        <v>12.2</v>
      </c>
      <c r="J16" s="4">
        <v>11</v>
      </c>
      <c r="K16" s="7">
        <v>13</v>
      </c>
      <c r="L16" s="11">
        <f>AVERAGE(I16,J16,K16)</f>
        <v>12.066666666666668</v>
      </c>
      <c r="M16" s="11">
        <f t="shared" si="0"/>
        <v>0.3</v>
      </c>
      <c r="N16" s="11">
        <f t="shared" si="2"/>
        <v>174.9</v>
      </c>
      <c r="Q16" s="17">
        <f t="shared" si="3"/>
        <v>1.51</v>
      </c>
      <c r="R16" s="13">
        <f t="shared" si="4"/>
        <v>11.66</v>
      </c>
    </row>
    <row r="17" spans="1:18" x14ac:dyDescent="0.25">
      <c r="A17" s="5">
        <v>16</v>
      </c>
      <c r="B17" s="13">
        <v>161</v>
      </c>
      <c r="C17" s="6">
        <v>0.3</v>
      </c>
      <c r="D17" s="4">
        <v>0.2</v>
      </c>
      <c r="E17" s="7">
        <v>0.3</v>
      </c>
      <c r="F17" s="6">
        <v>169.4</v>
      </c>
      <c r="G17" s="4">
        <v>163.69999999999999</v>
      </c>
      <c r="H17" s="7">
        <v>176.1</v>
      </c>
      <c r="I17" s="6">
        <v>11.7</v>
      </c>
      <c r="J17" s="4">
        <v>12.5</v>
      </c>
      <c r="K17" s="7">
        <v>14.5</v>
      </c>
      <c r="L17" s="11">
        <f t="shared" si="1"/>
        <v>12.9</v>
      </c>
      <c r="M17" s="11">
        <f t="shared" si="0"/>
        <v>0.26666666666666666</v>
      </c>
      <c r="N17" s="11">
        <f t="shared" si="2"/>
        <v>156.83333333333334</v>
      </c>
      <c r="Q17" s="17">
        <f t="shared" si="3"/>
        <v>1.61</v>
      </c>
      <c r="R17" s="13">
        <f t="shared" si="4"/>
        <v>10.455555555555556</v>
      </c>
    </row>
    <row r="18" spans="1:18" x14ac:dyDescent="0.25">
      <c r="A18" s="5">
        <v>17</v>
      </c>
      <c r="B18" s="13">
        <v>171</v>
      </c>
      <c r="C18" s="6">
        <v>0.2</v>
      </c>
      <c r="D18" s="4">
        <v>0.2</v>
      </c>
      <c r="E18" s="7">
        <v>0.3</v>
      </c>
      <c r="F18" s="6">
        <v>158.30000000000001</v>
      </c>
      <c r="G18" s="4">
        <v>156.69999999999999</v>
      </c>
      <c r="H18" s="7">
        <v>149.69999999999999</v>
      </c>
      <c r="I18" s="6">
        <v>10.4</v>
      </c>
      <c r="J18" s="4">
        <v>11.5</v>
      </c>
      <c r="K18" s="7">
        <v>12.3</v>
      </c>
      <c r="L18" s="11">
        <f t="shared" si="1"/>
        <v>11.4</v>
      </c>
      <c r="M18" s="11">
        <f t="shared" si="0"/>
        <v>0.23333333333333331</v>
      </c>
      <c r="N18" s="11">
        <f t="shared" si="2"/>
        <v>143.5</v>
      </c>
      <c r="Q18" s="17">
        <f t="shared" si="3"/>
        <v>1.71</v>
      </c>
      <c r="R18" s="13">
        <f t="shared" si="4"/>
        <v>9.5666666666666664</v>
      </c>
    </row>
    <row r="19" spans="1:18" x14ac:dyDescent="0.25">
      <c r="A19" s="5">
        <v>18</v>
      </c>
      <c r="B19" s="13">
        <v>181</v>
      </c>
      <c r="C19" s="6">
        <v>0.2</v>
      </c>
      <c r="D19" s="4">
        <v>0.2</v>
      </c>
      <c r="E19" s="7">
        <v>0.2</v>
      </c>
      <c r="F19" s="6">
        <v>124.3</v>
      </c>
      <c r="G19" s="4">
        <v>136.69999999999999</v>
      </c>
      <c r="H19" s="7">
        <v>135.4</v>
      </c>
      <c r="I19" s="6">
        <v>10.5</v>
      </c>
      <c r="J19" s="4">
        <v>9.9</v>
      </c>
      <c r="K19" s="7">
        <v>9.8000000000000007</v>
      </c>
      <c r="L19" s="11">
        <f t="shared" si="1"/>
        <v>10.066666666666666</v>
      </c>
      <c r="M19" s="11">
        <f t="shared" si="0"/>
        <v>0.20000000000000004</v>
      </c>
      <c r="N19" s="11">
        <f t="shared" si="2"/>
        <v>122.06666666666666</v>
      </c>
      <c r="Q19" s="17">
        <f t="shared" si="3"/>
        <v>1.81</v>
      </c>
      <c r="R19" s="13">
        <f t="shared" si="4"/>
        <v>8.137777777777778</v>
      </c>
    </row>
    <row r="20" spans="1:18" x14ac:dyDescent="0.25">
      <c r="A20" s="5">
        <v>19</v>
      </c>
      <c r="B20" s="13">
        <v>191</v>
      </c>
      <c r="C20" s="6">
        <v>0.2</v>
      </c>
      <c r="D20" s="4">
        <v>0.2</v>
      </c>
      <c r="E20" s="7">
        <v>0.2</v>
      </c>
      <c r="F20" s="6">
        <v>130</v>
      </c>
      <c r="G20" s="4">
        <v>131</v>
      </c>
      <c r="H20" s="7">
        <v>127</v>
      </c>
      <c r="I20" s="6">
        <v>9.6999999999999993</v>
      </c>
      <c r="J20" s="4">
        <v>12.3</v>
      </c>
      <c r="K20" s="7">
        <v>11.5</v>
      </c>
      <c r="L20" s="11">
        <f t="shared" si="1"/>
        <v>11.166666666666666</v>
      </c>
      <c r="M20" s="11">
        <f t="shared" si="0"/>
        <v>0.20000000000000004</v>
      </c>
      <c r="N20" s="11">
        <f t="shared" si="2"/>
        <v>118.16666666666667</v>
      </c>
      <c r="Q20" s="17">
        <f t="shared" si="3"/>
        <v>1.91</v>
      </c>
      <c r="R20" s="13">
        <f t="shared" si="4"/>
        <v>7.8777777777777782</v>
      </c>
    </row>
    <row r="21" spans="1:18" x14ac:dyDescent="0.25">
      <c r="A21" s="5">
        <v>20</v>
      </c>
      <c r="B21" s="13">
        <v>201</v>
      </c>
      <c r="C21" s="6">
        <v>0.1</v>
      </c>
      <c r="D21" s="4">
        <v>0.2</v>
      </c>
      <c r="E21" s="7">
        <v>0.2</v>
      </c>
      <c r="F21" s="6">
        <v>112.3</v>
      </c>
      <c r="G21" s="4">
        <v>110.9</v>
      </c>
      <c r="H21" s="7">
        <v>103.8</v>
      </c>
      <c r="I21" s="6">
        <v>11.9</v>
      </c>
      <c r="J21" s="4">
        <v>11.9</v>
      </c>
      <c r="K21" s="7">
        <v>12.4</v>
      </c>
      <c r="L21" s="11">
        <f t="shared" si="1"/>
        <v>12.066666666666668</v>
      </c>
      <c r="M21" s="11">
        <f t="shared" si="0"/>
        <v>0.16666666666666666</v>
      </c>
      <c r="N21" s="11">
        <f t="shared" si="2"/>
        <v>96.933333333333337</v>
      </c>
      <c r="Q21" s="17">
        <f t="shared" si="3"/>
        <v>2.0099999999999998</v>
      </c>
      <c r="R21" s="13">
        <f t="shared" si="4"/>
        <v>6.4622222222222225</v>
      </c>
    </row>
    <row r="22" spans="1:18" x14ac:dyDescent="0.25">
      <c r="A22" s="5">
        <v>21</v>
      </c>
      <c r="B22" s="13">
        <v>211</v>
      </c>
      <c r="C22" s="6">
        <v>0.1</v>
      </c>
      <c r="D22" s="4">
        <v>0.1</v>
      </c>
      <c r="E22" s="7">
        <v>0.2</v>
      </c>
      <c r="F22" s="6">
        <v>101.6</v>
      </c>
      <c r="G22" s="4">
        <v>104.5</v>
      </c>
      <c r="H22" s="7">
        <v>102.5</v>
      </c>
      <c r="I22" s="6">
        <v>8.6999999999999993</v>
      </c>
      <c r="J22" s="4">
        <v>11.9</v>
      </c>
      <c r="K22" s="7">
        <v>13.2</v>
      </c>
      <c r="L22" s="11">
        <f t="shared" si="1"/>
        <v>11.266666666666666</v>
      </c>
      <c r="M22" s="11">
        <f t="shared" si="0"/>
        <v>0.13333333333333333</v>
      </c>
      <c r="N22" s="11">
        <f t="shared" si="2"/>
        <v>91.600000000000009</v>
      </c>
      <c r="Q22" s="17">
        <f t="shared" si="3"/>
        <v>2.11</v>
      </c>
      <c r="R22" s="13">
        <f t="shared" si="4"/>
        <v>6.1066666666666674</v>
      </c>
    </row>
    <row r="23" spans="1:18" x14ac:dyDescent="0.25">
      <c r="A23" s="5">
        <v>22</v>
      </c>
      <c r="B23" s="13">
        <v>221</v>
      </c>
      <c r="C23" s="6">
        <v>0.1</v>
      </c>
      <c r="D23" s="4">
        <v>0.1</v>
      </c>
      <c r="E23" s="7">
        <v>0.2</v>
      </c>
      <c r="F23" s="6">
        <v>97.1</v>
      </c>
      <c r="G23" s="4">
        <v>99.2</v>
      </c>
      <c r="H23" s="7">
        <v>100</v>
      </c>
      <c r="I23" s="6">
        <v>15.8</v>
      </c>
      <c r="J23" s="4">
        <v>13.2</v>
      </c>
      <c r="K23" s="7">
        <v>11.5</v>
      </c>
      <c r="L23" s="11">
        <f t="shared" si="1"/>
        <v>13.5</v>
      </c>
      <c r="M23" s="11">
        <f t="shared" si="0"/>
        <v>0.13333333333333333</v>
      </c>
      <c r="N23" s="11">
        <f t="shared" si="2"/>
        <v>85.266666666666666</v>
      </c>
      <c r="Q23" s="17">
        <f t="shared" si="3"/>
        <v>2.21</v>
      </c>
      <c r="R23" s="13">
        <f t="shared" si="4"/>
        <v>5.684444444444444</v>
      </c>
    </row>
    <row r="24" spans="1:18" x14ac:dyDescent="0.25">
      <c r="A24" s="5">
        <v>23</v>
      </c>
      <c r="B24" s="13">
        <v>231</v>
      </c>
      <c r="C24" s="6">
        <v>0.1</v>
      </c>
      <c r="D24" s="4">
        <v>0.1</v>
      </c>
      <c r="E24" s="7">
        <v>0.1</v>
      </c>
      <c r="F24" s="6">
        <v>91.2</v>
      </c>
      <c r="G24" s="4">
        <v>93.4</v>
      </c>
      <c r="H24" s="7">
        <v>95.4</v>
      </c>
      <c r="I24" s="6">
        <v>16.3</v>
      </c>
      <c r="J24" s="4">
        <v>14.8</v>
      </c>
      <c r="K24" s="7">
        <v>13.7</v>
      </c>
      <c r="L24" s="11">
        <f t="shared" si="1"/>
        <v>14.933333333333332</v>
      </c>
      <c r="M24" s="11">
        <f t="shared" si="0"/>
        <v>0.10000000000000002</v>
      </c>
      <c r="N24" s="11">
        <f t="shared" si="2"/>
        <v>78.399999999999991</v>
      </c>
      <c r="Q24" s="17">
        <f t="shared" si="3"/>
        <v>2.31</v>
      </c>
      <c r="R24" s="13">
        <f t="shared" si="4"/>
        <v>5.2266666666666657</v>
      </c>
    </row>
    <row r="25" spans="1:18" x14ac:dyDescent="0.25">
      <c r="A25" s="5">
        <v>24</v>
      </c>
      <c r="B25" s="13">
        <v>241</v>
      </c>
      <c r="C25" s="6">
        <v>0.1</v>
      </c>
      <c r="D25" s="4">
        <v>0.1</v>
      </c>
      <c r="E25" s="7">
        <v>0.1</v>
      </c>
      <c r="F25" s="6">
        <v>92.6</v>
      </c>
      <c r="G25" s="4">
        <v>89.5</v>
      </c>
      <c r="H25" s="7">
        <v>94.6</v>
      </c>
      <c r="I25" s="6">
        <v>9.8000000000000007</v>
      </c>
      <c r="J25" s="4">
        <v>10.5</v>
      </c>
      <c r="K25" s="7">
        <v>11.9</v>
      </c>
      <c r="L25" s="11">
        <f t="shared" si="1"/>
        <v>10.733333333333334</v>
      </c>
      <c r="M25" s="11">
        <f t="shared" si="0"/>
        <v>0.10000000000000002</v>
      </c>
      <c r="N25" s="11">
        <f t="shared" si="2"/>
        <v>81.5</v>
      </c>
      <c r="Q25" s="17">
        <f t="shared" si="3"/>
        <v>2.41</v>
      </c>
      <c r="R25" s="13">
        <f t="shared" si="4"/>
        <v>5.4333333333333336</v>
      </c>
    </row>
    <row r="26" spans="1:18" ht="15.75" thickBot="1" x14ac:dyDescent="0.3">
      <c r="A26" s="5">
        <v>25</v>
      </c>
      <c r="B26" s="14">
        <v>251</v>
      </c>
      <c r="C26" s="8">
        <v>0</v>
      </c>
      <c r="D26" s="9">
        <v>0</v>
      </c>
      <c r="E26" s="10">
        <v>0.1</v>
      </c>
      <c r="F26" s="8">
        <v>86.7</v>
      </c>
      <c r="G26" s="9">
        <v>84</v>
      </c>
      <c r="H26" s="10">
        <v>86.2</v>
      </c>
      <c r="I26" s="8">
        <v>14.2</v>
      </c>
      <c r="J26" s="9">
        <v>15.1</v>
      </c>
      <c r="K26" s="10">
        <v>13.9</v>
      </c>
      <c r="L26" s="12">
        <f t="shared" si="1"/>
        <v>14.399999999999999</v>
      </c>
      <c r="M26" s="12">
        <f t="shared" si="0"/>
        <v>3.3333333333333333E-2</v>
      </c>
      <c r="N26" s="12">
        <f t="shared" si="2"/>
        <v>71.23333333333332</v>
      </c>
      <c r="Q26" s="18">
        <f t="shared" si="3"/>
        <v>2.5099999999999998</v>
      </c>
      <c r="R26" s="14">
        <f t="shared" si="4"/>
        <v>4.7488888888888878</v>
      </c>
    </row>
  </sheetData>
  <mergeCells count="3">
    <mergeCell ref="C1:E1"/>
    <mergeCell ref="F1:H1"/>
    <mergeCell ref="I1:K1"/>
  </mergeCells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26"/>
  <sheetViews>
    <sheetView zoomScale="80" zoomScaleNormal="80" workbookViewId="0">
      <selection activeCell="G1" sqref="G1"/>
    </sheetView>
  </sheetViews>
  <sheetFormatPr defaultRowHeight="15" x14ac:dyDescent="0.25"/>
  <cols>
    <col min="2" max="2" width="25.28515625" customWidth="1"/>
    <col min="3" max="3" width="25.7109375" customWidth="1"/>
    <col min="7" max="7" width="18.5703125" customWidth="1"/>
  </cols>
  <sheetData>
    <row r="1" spans="1:4" x14ac:dyDescent="0.25">
      <c r="A1" s="1" t="s">
        <v>0</v>
      </c>
      <c r="B1" t="s">
        <v>2</v>
      </c>
      <c r="C1" t="s">
        <v>1</v>
      </c>
    </row>
    <row r="2" spans="1:4" x14ac:dyDescent="0.25">
      <c r="A2" s="1">
        <v>11</v>
      </c>
      <c r="B2" s="1">
        <v>769.23333333333323</v>
      </c>
      <c r="C2">
        <f>(A2)^2</f>
        <v>121</v>
      </c>
      <c r="D2">
        <f>1/C2</f>
        <v>8.2644628099173556E-3</v>
      </c>
    </row>
    <row r="3" spans="1:4" x14ac:dyDescent="0.25">
      <c r="A3" s="1">
        <v>21</v>
      </c>
      <c r="B3" s="1">
        <v>740.4</v>
      </c>
      <c r="C3">
        <f t="shared" ref="C3:C25" si="0">(A3)^2</f>
        <v>441</v>
      </c>
      <c r="D3">
        <f t="shared" ref="D3:D26" si="1">1/C3</f>
        <v>2.2675736961451248E-3</v>
      </c>
    </row>
    <row r="4" spans="1:4" x14ac:dyDescent="0.25">
      <c r="A4" s="1">
        <v>31</v>
      </c>
      <c r="B4" s="1">
        <v>716.66666666666663</v>
      </c>
      <c r="C4">
        <f t="shared" si="0"/>
        <v>961</v>
      </c>
      <c r="D4">
        <f t="shared" si="1"/>
        <v>1.0405827263267431E-3</v>
      </c>
    </row>
    <row r="5" spans="1:4" x14ac:dyDescent="0.25">
      <c r="A5" s="1">
        <v>41</v>
      </c>
      <c r="B5" s="1">
        <v>705.93333333333351</v>
      </c>
      <c r="C5">
        <f t="shared" si="0"/>
        <v>1681</v>
      </c>
      <c r="D5">
        <f t="shared" si="1"/>
        <v>5.9488399762046404E-4</v>
      </c>
    </row>
    <row r="6" spans="1:4" x14ac:dyDescent="0.25">
      <c r="A6" s="1">
        <v>51</v>
      </c>
      <c r="B6" s="1">
        <v>693.83333333333337</v>
      </c>
      <c r="C6">
        <f t="shared" si="0"/>
        <v>2601</v>
      </c>
      <c r="D6">
        <f t="shared" si="1"/>
        <v>3.8446751249519417E-4</v>
      </c>
    </row>
    <row r="7" spans="1:4" x14ac:dyDescent="0.25">
      <c r="A7" s="1">
        <v>61</v>
      </c>
      <c r="B7" s="1">
        <v>679.73333333333335</v>
      </c>
      <c r="C7">
        <f t="shared" si="0"/>
        <v>3721</v>
      </c>
      <c r="D7">
        <f t="shared" si="1"/>
        <v>2.6874496103198063E-4</v>
      </c>
    </row>
    <row r="8" spans="1:4" x14ac:dyDescent="0.25">
      <c r="A8" s="1">
        <v>71</v>
      </c>
      <c r="B8" s="1">
        <v>650.80000000000007</v>
      </c>
      <c r="C8">
        <f t="shared" si="0"/>
        <v>5041</v>
      </c>
      <c r="D8">
        <f t="shared" si="1"/>
        <v>1.9837333862328903E-4</v>
      </c>
    </row>
    <row r="9" spans="1:4" x14ac:dyDescent="0.25">
      <c r="A9" s="1">
        <v>81</v>
      </c>
      <c r="B9" s="1">
        <v>610.73333333333335</v>
      </c>
      <c r="C9">
        <f t="shared" si="0"/>
        <v>6561</v>
      </c>
      <c r="D9">
        <f t="shared" si="1"/>
        <v>1.5241579027587258E-4</v>
      </c>
    </row>
    <row r="10" spans="1:4" x14ac:dyDescent="0.25">
      <c r="A10" s="1">
        <v>91</v>
      </c>
      <c r="B10" s="1">
        <v>520.36666666666656</v>
      </c>
      <c r="C10">
        <f t="shared" si="0"/>
        <v>8281</v>
      </c>
      <c r="D10">
        <f t="shared" si="1"/>
        <v>1.2075836251660427E-4</v>
      </c>
    </row>
    <row r="11" spans="1:4" x14ac:dyDescent="0.25">
      <c r="A11" s="1">
        <v>101</v>
      </c>
      <c r="B11" s="1">
        <v>418.16666666666669</v>
      </c>
      <c r="C11">
        <f t="shared" si="0"/>
        <v>10201</v>
      </c>
      <c r="D11">
        <f t="shared" si="1"/>
        <v>9.8029604940692082E-5</v>
      </c>
    </row>
    <row r="12" spans="1:4" x14ac:dyDescent="0.25">
      <c r="A12" s="1">
        <v>111</v>
      </c>
      <c r="B12" s="1">
        <v>333.4666666666667</v>
      </c>
      <c r="C12">
        <f t="shared" si="0"/>
        <v>12321</v>
      </c>
      <c r="D12">
        <f t="shared" si="1"/>
        <v>8.1162243324405485E-5</v>
      </c>
    </row>
    <row r="13" spans="1:4" x14ac:dyDescent="0.25">
      <c r="A13" s="1">
        <v>121</v>
      </c>
      <c r="B13" s="1">
        <v>274.5</v>
      </c>
      <c r="C13">
        <f t="shared" si="0"/>
        <v>14641</v>
      </c>
      <c r="D13">
        <f t="shared" si="1"/>
        <v>6.8301345536507063E-5</v>
      </c>
    </row>
    <row r="14" spans="1:4" x14ac:dyDescent="0.25">
      <c r="A14" s="1">
        <v>131</v>
      </c>
      <c r="B14" s="1">
        <v>248.5333333333333</v>
      </c>
      <c r="C14">
        <f t="shared" si="0"/>
        <v>17161</v>
      </c>
      <c r="D14">
        <f t="shared" si="1"/>
        <v>5.8271662490530857E-5</v>
      </c>
    </row>
    <row r="15" spans="1:4" x14ac:dyDescent="0.25">
      <c r="A15" s="1">
        <v>141</v>
      </c>
      <c r="B15" s="1">
        <v>199.23333333333332</v>
      </c>
      <c r="C15">
        <f t="shared" si="0"/>
        <v>19881</v>
      </c>
      <c r="D15">
        <f t="shared" si="1"/>
        <v>5.0299280720285702E-5</v>
      </c>
    </row>
    <row r="16" spans="1:4" x14ac:dyDescent="0.25">
      <c r="A16" s="1">
        <v>151</v>
      </c>
      <c r="B16" s="1">
        <v>174.9</v>
      </c>
      <c r="C16">
        <f t="shared" si="0"/>
        <v>22801</v>
      </c>
      <c r="D16">
        <f t="shared" si="1"/>
        <v>4.3857725538353582E-5</v>
      </c>
    </row>
    <row r="17" spans="1:4" x14ac:dyDescent="0.25">
      <c r="A17" s="1">
        <v>161</v>
      </c>
      <c r="B17" s="1">
        <v>156.83333333333334</v>
      </c>
      <c r="C17">
        <f t="shared" si="0"/>
        <v>25921</v>
      </c>
      <c r="D17">
        <f t="shared" si="1"/>
        <v>3.8578758535550326E-5</v>
      </c>
    </row>
    <row r="18" spans="1:4" x14ac:dyDescent="0.25">
      <c r="A18" s="1">
        <v>171</v>
      </c>
      <c r="B18" s="1">
        <v>143.5</v>
      </c>
      <c r="C18">
        <f t="shared" si="0"/>
        <v>29241</v>
      </c>
      <c r="D18">
        <f t="shared" si="1"/>
        <v>3.4198556820902158E-5</v>
      </c>
    </row>
    <row r="19" spans="1:4" x14ac:dyDescent="0.25">
      <c r="A19" s="1">
        <v>181</v>
      </c>
      <c r="B19" s="1">
        <v>122.06666666666666</v>
      </c>
      <c r="C19">
        <f t="shared" si="0"/>
        <v>32761</v>
      </c>
      <c r="D19">
        <f t="shared" si="1"/>
        <v>3.0524098775983637E-5</v>
      </c>
    </row>
    <row r="20" spans="1:4" x14ac:dyDescent="0.25">
      <c r="A20" s="1">
        <v>191</v>
      </c>
      <c r="B20" s="1">
        <v>118.16666666666667</v>
      </c>
      <c r="C20">
        <f t="shared" si="0"/>
        <v>36481</v>
      </c>
      <c r="D20">
        <f t="shared" si="1"/>
        <v>2.7411529289219047E-5</v>
      </c>
    </row>
    <row r="21" spans="1:4" x14ac:dyDescent="0.25">
      <c r="A21" s="1">
        <v>201</v>
      </c>
      <c r="B21" s="1">
        <v>96.933333333333337</v>
      </c>
      <c r="C21">
        <f t="shared" si="0"/>
        <v>40401</v>
      </c>
      <c r="D21">
        <f t="shared" si="1"/>
        <v>2.4751862577658969E-5</v>
      </c>
    </row>
    <row r="22" spans="1:4" x14ac:dyDescent="0.25">
      <c r="A22" s="1">
        <v>211</v>
      </c>
      <c r="B22" s="1">
        <v>91.600000000000009</v>
      </c>
      <c r="C22">
        <f t="shared" si="0"/>
        <v>44521</v>
      </c>
      <c r="D22">
        <f t="shared" si="1"/>
        <v>2.246131039284832E-5</v>
      </c>
    </row>
    <row r="23" spans="1:4" x14ac:dyDescent="0.25">
      <c r="A23" s="1">
        <v>221</v>
      </c>
      <c r="B23" s="1">
        <v>85.266666666666666</v>
      </c>
      <c r="C23">
        <f t="shared" si="0"/>
        <v>48841</v>
      </c>
      <c r="D23">
        <f t="shared" si="1"/>
        <v>2.0474601257140519E-5</v>
      </c>
    </row>
    <row r="24" spans="1:4" x14ac:dyDescent="0.25">
      <c r="A24" s="1">
        <v>231</v>
      </c>
      <c r="B24" s="1">
        <v>78.399999999999991</v>
      </c>
      <c r="C24">
        <f t="shared" si="0"/>
        <v>53361</v>
      </c>
      <c r="D24">
        <f t="shared" si="1"/>
        <v>1.8740278480538221E-5</v>
      </c>
    </row>
    <row r="25" spans="1:4" x14ac:dyDescent="0.25">
      <c r="A25" s="1">
        <v>241</v>
      </c>
      <c r="B25" s="1">
        <v>81.5</v>
      </c>
      <c r="C25">
        <f t="shared" si="0"/>
        <v>58081</v>
      </c>
      <c r="D25">
        <f t="shared" si="1"/>
        <v>1.7217334412286289E-5</v>
      </c>
    </row>
    <row r="26" spans="1:4" x14ac:dyDescent="0.25">
      <c r="A26" s="1">
        <v>251</v>
      </c>
      <c r="B26" s="1">
        <v>71.23333333333332</v>
      </c>
      <c r="C26">
        <f>(A26)^2</f>
        <v>63001</v>
      </c>
      <c r="D26">
        <f t="shared" si="1"/>
        <v>1.5872763924382153E-5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1"/>
  <sheetViews>
    <sheetView topLeftCell="D14" workbookViewId="0">
      <selection activeCell="G1" sqref="G1:G35"/>
    </sheetView>
  </sheetViews>
  <sheetFormatPr defaultRowHeight="15" x14ac:dyDescent="0.25"/>
  <cols>
    <col min="1" max="1" width="24.28515625" customWidth="1"/>
    <col min="2" max="2" width="27.28515625" style="1" customWidth="1"/>
    <col min="3" max="3" width="18.42578125" style="1" customWidth="1"/>
    <col min="6" max="6" width="36" customWidth="1"/>
    <col min="7" max="7" width="18.140625" style="3" customWidth="1"/>
    <col min="40" max="40" width="9.140625" customWidth="1"/>
  </cols>
  <sheetData>
    <row r="1" spans="1:9" x14ac:dyDescent="0.25">
      <c r="A1" s="3">
        <v>9.9999999999999995E-8</v>
      </c>
      <c r="F1" s="3" t="s">
        <v>35</v>
      </c>
      <c r="G1" s="3" t="e">
        <f>(0.0166*F1)+0.0504</f>
        <v>#VALUE!</v>
      </c>
      <c r="I1">
        <v>3</v>
      </c>
    </row>
    <row r="2" spans="1:9" x14ac:dyDescent="0.25">
      <c r="A2" s="2">
        <v>1.9999999999999999E-7</v>
      </c>
      <c r="F2" s="3" t="s">
        <v>36</v>
      </c>
      <c r="G2" s="3" t="e">
        <f t="shared" ref="G2:G35" si="0">(0.0166*F2)+0.0504</f>
        <v>#VALUE!</v>
      </c>
    </row>
    <row r="3" spans="1:9" x14ac:dyDescent="0.25">
      <c r="A3" s="2">
        <v>2.9999999999999999E-7</v>
      </c>
      <c r="F3" s="3" t="s">
        <v>37</v>
      </c>
      <c r="G3" s="3" t="e">
        <f t="shared" si="0"/>
        <v>#VALUE!</v>
      </c>
    </row>
    <row r="4" spans="1:9" x14ac:dyDescent="0.25">
      <c r="A4" s="3" t="s">
        <v>3</v>
      </c>
      <c r="F4" s="3" t="s">
        <v>38</v>
      </c>
      <c r="G4" s="3" t="e">
        <f t="shared" si="0"/>
        <v>#VALUE!</v>
      </c>
    </row>
    <row r="5" spans="1:9" x14ac:dyDescent="0.25">
      <c r="A5" s="3" t="s">
        <v>4</v>
      </c>
      <c r="F5" s="3" t="s">
        <v>39</v>
      </c>
      <c r="G5" s="3" t="e">
        <f t="shared" si="0"/>
        <v>#VALUE!</v>
      </c>
    </row>
    <row r="6" spans="1:9" x14ac:dyDescent="0.25">
      <c r="A6" s="3" t="s">
        <v>5</v>
      </c>
      <c r="F6" s="3" t="s">
        <v>40</v>
      </c>
      <c r="G6" s="3" t="e">
        <f t="shared" si="0"/>
        <v>#VALUE!</v>
      </c>
    </row>
    <row r="7" spans="1:9" x14ac:dyDescent="0.25">
      <c r="A7" s="3" t="s">
        <v>6</v>
      </c>
      <c r="F7" s="3" t="s">
        <v>41</v>
      </c>
      <c r="G7" s="3" t="e">
        <f t="shared" si="0"/>
        <v>#VALUE!</v>
      </c>
    </row>
    <row r="8" spans="1:9" x14ac:dyDescent="0.25">
      <c r="A8" s="3" t="s">
        <v>7</v>
      </c>
      <c r="F8" s="3" t="s">
        <v>42</v>
      </c>
      <c r="G8" s="3" t="e">
        <f t="shared" si="0"/>
        <v>#VALUE!</v>
      </c>
    </row>
    <row r="9" spans="1:9" x14ac:dyDescent="0.25">
      <c r="A9" s="3" t="s">
        <v>8</v>
      </c>
      <c r="F9" s="3" t="s">
        <v>43</v>
      </c>
      <c r="G9" s="3" t="e">
        <f t="shared" si="0"/>
        <v>#VALUE!</v>
      </c>
    </row>
    <row r="10" spans="1:9" x14ac:dyDescent="0.25">
      <c r="A10" s="3" t="s">
        <v>9</v>
      </c>
      <c r="F10" s="3" t="s">
        <v>44</v>
      </c>
      <c r="G10" s="3" t="e">
        <f t="shared" si="0"/>
        <v>#VALUE!</v>
      </c>
    </row>
    <row r="11" spans="1:9" x14ac:dyDescent="0.25">
      <c r="A11" s="3" t="s">
        <v>10</v>
      </c>
      <c r="F11" s="3" t="s">
        <v>45</v>
      </c>
      <c r="G11" s="3" t="e">
        <f t="shared" si="0"/>
        <v>#VALUE!</v>
      </c>
    </row>
    <row r="12" spans="1:9" x14ac:dyDescent="0.25">
      <c r="A12" s="3" t="s">
        <v>11</v>
      </c>
      <c r="F12" s="3" t="s">
        <v>46</v>
      </c>
      <c r="G12" s="3" t="e">
        <f t="shared" si="0"/>
        <v>#VALUE!</v>
      </c>
    </row>
    <row r="13" spans="1:9" x14ac:dyDescent="0.25">
      <c r="A13" s="3" t="s">
        <v>12</v>
      </c>
      <c r="F13" s="3" t="s">
        <v>47</v>
      </c>
      <c r="G13" s="3" t="e">
        <f t="shared" si="0"/>
        <v>#VALUE!</v>
      </c>
    </row>
    <row r="14" spans="1:9" x14ac:dyDescent="0.25">
      <c r="A14" s="3" t="s">
        <v>13</v>
      </c>
      <c r="F14" s="3" t="s">
        <v>48</v>
      </c>
      <c r="G14" s="3" t="e">
        <f t="shared" si="0"/>
        <v>#VALUE!</v>
      </c>
    </row>
    <row r="15" spans="1:9" x14ac:dyDescent="0.25">
      <c r="A15" s="3" t="s">
        <v>14</v>
      </c>
      <c r="F15" s="3" t="s">
        <v>49</v>
      </c>
      <c r="G15" s="3" t="e">
        <f t="shared" si="0"/>
        <v>#VALUE!</v>
      </c>
    </row>
    <row r="16" spans="1:9" x14ac:dyDescent="0.25">
      <c r="A16" s="3" t="s">
        <v>15</v>
      </c>
      <c r="F16" s="3" t="s">
        <v>50</v>
      </c>
      <c r="G16" s="3" t="e">
        <f t="shared" si="0"/>
        <v>#VALUE!</v>
      </c>
    </row>
    <row r="17" spans="1:7" x14ac:dyDescent="0.25">
      <c r="A17" s="3" t="s">
        <v>16</v>
      </c>
      <c r="F17" s="3" t="s">
        <v>51</v>
      </c>
      <c r="G17" s="3" t="e">
        <f t="shared" si="0"/>
        <v>#VALUE!</v>
      </c>
    </row>
    <row r="18" spans="1:7" x14ac:dyDescent="0.25">
      <c r="A18" s="3" t="s">
        <v>17</v>
      </c>
      <c r="F18" s="3" t="s">
        <v>52</v>
      </c>
      <c r="G18" s="3" t="e">
        <f t="shared" si="0"/>
        <v>#VALUE!</v>
      </c>
    </row>
    <row r="19" spans="1:7" x14ac:dyDescent="0.25">
      <c r="A19" s="3" t="s">
        <v>18</v>
      </c>
      <c r="F19" s="3" t="s">
        <v>53</v>
      </c>
      <c r="G19" s="3" t="e">
        <f t="shared" si="0"/>
        <v>#VALUE!</v>
      </c>
    </row>
    <row r="20" spans="1:7" x14ac:dyDescent="0.25">
      <c r="A20" s="3" t="s">
        <v>19</v>
      </c>
      <c r="F20" s="3" t="s">
        <v>54</v>
      </c>
      <c r="G20" s="3" t="e">
        <f t="shared" si="0"/>
        <v>#VALUE!</v>
      </c>
    </row>
    <row r="21" spans="1:7" x14ac:dyDescent="0.25">
      <c r="A21" s="3" t="s">
        <v>20</v>
      </c>
      <c r="F21" s="3" t="s">
        <v>55</v>
      </c>
      <c r="G21" s="3" t="e">
        <f t="shared" si="0"/>
        <v>#VALUE!</v>
      </c>
    </row>
    <row r="22" spans="1:7" x14ac:dyDescent="0.25">
      <c r="A22" s="3" t="s">
        <v>21</v>
      </c>
      <c r="F22" s="3" t="s">
        <v>56</v>
      </c>
      <c r="G22" s="3" t="e">
        <f t="shared" si="0"/>
        <v>#VALUE!</v>
      </c>
    </row>
    <row r="23" spans="1:7" x14ac:dyDescent="0.25">
      <c r="A23" s="3" t="s">
        <v>22</v>
      </c>
      <c r="F23" s="3" t="s">
        <v>57</v>
      </c>
      <c r="G23" s="3" t="e">
        <f t="shared" si="0"/>
        <v>#VALUE!</v>
      </c>
    </row>
    <row r="24" spans="1:7" x14ac:dyDescent="0.25">
      <c r="A24" s="3" t="s">
        <v>23</v>
      </c>
      <c r="F24" s="3" t="s">
        <v>58</v>
      </c>
      <c r="G24" s="3" t="e">
        <f t="shared" si="0"/>
        <v>#VALUE!</v>
      </c>
    </row>
    <row r="25" spans="1:7" x14ac:dyDescent="0.25">
      <c r="A25" s="3" t="s">
        <v>24</v>
      </c>
      <c r="F25" s="3" t="s">
        <v>59</v>
      </c>
      <c r="G25" s="3" t="e">
        <f t="shared" si="0"/>
        <v>#VALUE!</v>
      </c>
    </row>
    <row r="26" spans="1:7" x14ac:dyDescent="0.25">
      <c r="A26" s="3" t="s">
        <v>25</v>
      </c>
      <c r="F26" s="3" t="s">
        <v>60</v>
      </c>
      <c r="G26" s="3" t="e">
        <f t="shared" si="0"/>
        <v>#VALUE!</v>
      </c>
    </row>
    <row r="27" spans="1:7" x14ac:dyDescent="0.25">
      <c r="A27" s="3" t="s">
        <v>26</v>
      </c>
      <c r="F27" s="3" t="s">
        <v>61</v>
      </c>
      <c r="G27" s="3" t="e">
        <f t="shared" si="0"/>
        <v>#VALUE!</v>
      </c>
    </row>
    <row r="28" spans="1:7" x14ac:dyDescent="0.25">
      <c r="A28" s="3" t="s">
        <v>27</v>
      </c>
      <c r="F28" s="3" t="s">
        <v>62</v>
      </c>
      <c r="G28" s="3" t="e">
        <f t="shared" si="0"/>
        <v>#VALUE!</v>
      </c>
    </row>
    <row r="29" spans="1:7" x14ac:dyDescent="0.25">
      <c r="A29" s="3" t="s">
        <v>28</v>
      </c>
      <c r="F29" s="3" t="s">
        <v>63</v>
      </c>
      <c r="G29" s="3" t="e">
        <f t="shared" si="0"/>
        <v>#VALUE!</v>
      </c>
    </row>
    <row r="30" spans="1:7" x14ac:dyDescent="0.25">
      <c r="A30" s="3" t="s">
        <v>29</v>
      </c>
      <c r="F30" s="3" t="s">
        <v>64</v>
      </c>
      <c r="G30" s="3" t="e">
        <f t="shared" si="0"/>
        <v>#VALUE!</v>
      </c>
    </row>
    <row r="31" spans="1:7" x14ac:dyDescent="0.25">
      <c r="A31" s="3" t="s">
        <v>30</v>
      </c>
      <c r="F31" s="3" t="s">
        <v>65</v>
      </c>
      <c r="G31" s="3" t="e">
        <f t="shared" si="0"/>
        <v>#VALUE!</v>
      </c>
    </row>
    <row r="32" spans="1:7" x14ac:dyDescent="0.25">
      <c r="A32" s="3" t="s">
        <v>31</v>
      </c>
      <c r="F32" s="3" t="s">
        <v>66</v>
      </c>
      <c r="G32" s="3" t="e">
        <f t="shared" si="0"/>
        <v>#VALUE!</v>
      </c>
    </row>
    <row r="33" spans="1:7" x14ac:dyDescent="0.25">
      <c r="A33" s="3" t="s">
        <v>32</v>
      </c>
      <c r="F33" s="3" t="s">
        <v>67</v>
      </c>
      <c r="G33" s="3" t="e">
        <f t="shared" si="0"/>
        <v>#VALUE!</v>
      </c>
    </row>
    <row r="34" spans="1:7" x14ac:dyDescent="0.25">
      <c r="A34" s="3" t="s">
        <v>33</v>
      </c>
      <c r="F34" s="3" t="s">
        <v>68</v>
      </c>
      <c r="G34" s="3" t="e">
        <f t="shared" si="0"/>
        <v>#VALUE!</v>
      </c>
    </row>
    <row r="35" spans="1:7" x14ac:dyDescent="0.25">
      <c r="A35" s="3">
        <v>7.9999999999999895E-4</v>
      </c>
      <c r="F35" s="3">
        <v>5.2060519326505E-3</v>
      </c>
      <c r="G35" s="3">
        <f t="shared" si="0"/>
        <v>5.0486420462082002E-2</v>
      </c>
    </row>
    <row r="41" spans="1:7" x14ac:dyDescent="0.25">
      <c r="A41" t="s">
        <v>34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Experimental data</vt:lpstr>
      <vt:lpstr>Sheet1</vt:lpstr>
      <vt:lpstr>Simulation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jayaram PA</dc:creator>
  <cp:lastModifiedBy>jayaram PA</cp:lastModifiedBy>
  <dcterms:created xsi:type="dcterms:W3CDTF">2018-01-25T07:29:52Z</dcterms:created>
  <dcterms:modified xsi:type="dcterms:W3CDTF">2018-03-07T08:27:35Z</dcterms:modified>
</cp:coreProperties>
</file>